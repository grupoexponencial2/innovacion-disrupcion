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nce de indicadores" sheetId="1" state="visible" r:id="rId3"/>
    <sheet name="Detalle del mes" sheetId="2" state="visible" r:id="rId4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<sst xmlns="http://schemas.openxmlformats.org/spreadsheetml/2006/main" count="133" uniqueCount="72">
  <si>
    <t xml:space="preserve">Innovación &amp; Disrupción · Avance de indicadores 2026</t>
  </si>
  <si>
    <t xml:space="preserve">Corte al 23 de octubre de 2026 · Octubre con datos al corte · Generado desde la plataforma</t>
  </si>
  <si>
    <t xml:space="preserve">Datos de ejemplo de la maqueta. En el sitio real la plataforma llena la fila "Real" cada mes.</t>
  </si>
  <si>
    <t xml:space="preserve">1er Trimestre</t>
  </si>
  <si>
    <t xml:space="preserve">2do Trimestre</t>
  </si>
  <si>
    <t xml:space="preserve">3er Trimestre</t>
  </si>
  <si>
    <t xml:space="preserve">4to Trimestre</t>
  </si>
  <si>
    <t xml:space="preserve">Cumplimiento en fecha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</si>
  <si>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</si>
  <si>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</si>
  <si>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</si>
  <si>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</si>
  <si>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</si>
  <si>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</si>
  <si>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</si>
  <si>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</si>
  <si>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</si>
  <si>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</si>
  <si>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</si>
  <si>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</si>
  <si>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</si>
  <si>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Meta</t>
  </si>
  <si>
    <t xml:space="preserve">Real</t>
  </si>
  <si>
    <t xml:space="preserve">Resultado</t>
  </si>
  <si>
    <t xml:space="preserve">Salud del portafolio</t>
  </si>
  <si>
    <t xml:space="preserve">Tasa de implementación</t>
  </si>
  <si>
    <t xml:space="preserve">Impacto validado</t>
  </si>
  <si>
    <t xml:space="preserve">Cómo leer este reporte</t>
  </si>
  <si>
    <t xml:space="preserve">Fila de color: meta mensual del indicador. El total de 100% representa cumplir la meta todos los meses.</t>
  </si>
  <si>
    <t xml:space="preserve">Porcentaje real alcanzado en el mes (texto azul: dato que registra la plataforma).</t>
  </si>
  <si>
    <t xml:space="preserve">Cumplimiento contra la meta: Real ÷ Meta, con tope de 100%. El total es el promedio de los meses con datos.</t>
  </si>
  <si>
    <t xml:space="preserve">Corte</t>
  </si>
  <si>
    <t xml:space="preserve">Octubre muestra datos al 23 de octubre; se actualiza al cierre del mes.</t>
  </si>
  <si>
    <t xml:space="preserve">Detalle de octubre 2026 · corte al 23 de octubre</t>
  </si>
  <si>
    <t xml:space="preserve">Datos de ejemplo de la maqueta.</t>
  </si>
  <si>
    <t xml:space="preserve">KPIs del mes</t>
  </si>
  <si>
    <t xml:space="preserve">#</t>
  </si>
  <si>
    <t xml:space="preserve">Indicador</t>
  </si>
  <si>
    <t xml:space="preserve">Cumplen</t>
  </si>
  <si>
    <t xml:space="preserve">Flujo general</t>
  </si>
  <si>
    <t xml:space="preserve">Etapa</t>
  </si>
  <si>
    <t xml:space="preserve">Mensual</t>
  </si>
  <si>
    <t xml:space="preserve">Acumulado</t>
  </si>
  <si>
    <t xml:space="preserve">Solicitudes recibidas</t>
  </si>
  <si>
    <t xml:space="preserve">Proyectos aprobados</t>
  </si>
  <si>
    <t xml:space="preserve">En ejecución</t>
  </si>
  <si>
    <t xml:space="preserve">Soluciones implementadas</t>
  </si>
  <si>
    <t xml:space="preserve">Salud del portafolio (proyectos y actividades)</t>
  </si>
  <si>
    <t xml:space="preserve">Nivel</t>
  </si>
  <si>
    <t xml:space="preserve">Número</t>
  </si>
  <si>
    <t xml:space="preserve">% de activos</t>
  </si>
  <si>
    <t xml:space="preserve">Activos</t>
  </si>
  <si>
    <t xml:space="preserve">En tiempo</t>
  </si>
  <si>
    <t xml:space="preserve">Vencidos</t>
  </si>
  <si>
    <t xml:space="preserve">Distribución del portafolio</t>
  </si>
  <si>
    <t xml:space="preserve">Tipo</t>
  </si>
  <si>
    <t xml:space="preserve">%</t>
  </si>
  <si>
    <t xml:space="preserve">Investigación</t>
  </si>
  <si>
    <t xml:space="preserve">Implementación</t>
  </si>
  <si>
    <t xml:space="preserve">Automatización</t>
  </si>
  <si>
    <t xml:space="preserve">Desarrollo de Recursos</t>
  </si>
  <si>
    <t xml:space="preserve">Actividades individuales</t>
  </si>
  <si>
    <t xml:space="preserve">Desglose de proyectos</t>
  </si>
  <si>
    <t xml:space="preserve">No.</t>
  </si>
  <si>
    <t xml:space="preserve">Proyecto</t>
  </si>
  <si>
    <t xml:space="preserve">Actividades</t>
  </si>
  <si>
    <t xml:space="preserve">Terminadas</t>
  </si>
  <si>
    <t xml:space="preserve">Avance</t>
  </si>
  <si>
    <t xml:space="preserve">Campus Virtual BRIMA · Landing</t>
  </si>
  <si>
    <t xml:space="preserve">SWAT · 8Ps en Schoology</t>
  </si>
  <si>
    <t xml:space="preserve">Proyecto 8P · Capacitaciones con avatar IA</t>
  </si>
  <si>
    <t xml:space="preserve">Workshop El Vendedor Aumentado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</si>
</sst>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394D"/>
      <name val="Arial"/>
      <family val="0"/>
      <charset val="1"/>
    </font>
    <font>
      <sz val="10"/>
      <color rgb="FF6A7782"/>
      <name val="Arial"/>
      <family val="0"/>
      <charset val="1"/>
    </font>
    <font>
      <i val="true"/>
      <sz val="9"/>
      <color rgb="FF6A778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D6453D"/>
      <name val="Arial"/>
      <family val="0"/>
      <charset val="1"/>
    </font>
    <font>
      <b val="true"/>
      <sz val="9"/>
      <color rgb="FF14394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D6453D"/>
      <name val="Arial"/>
      <family val="0"/>
      <charset val="1"/>
    </font>
    <font>
      <b val="true"/>
      <sz val="12"/>
      <color rgb="FFD99A12"/>
      <name val="Arial"/>
      <family val="0"/>
      <charset val="1"/>
    </font>
    <font>
      <b val="true"/>
      <sz val="11"/>
      <color rgb="FFD99A12"/>
      <name val="Arial"/>
      <family val="0"/>
      <charset val="1"/>
    </font>
    <font>
      <b val="true"/>
      <sz val="12"/>
      <color rgb="FF0FA3A3"/>
      <name val="Arial"/>
      <family val="0"/>
      <charset val="1"/>
    </font>
    <font>
      <b val="true"/>
      <sz val="11"/>
      <color rgb="FF0FA3A3"/>
      <name val="Arial"/>
      <family val="0"/>
      <charset val="1"/>
    </font>
    <font>
      <b val="true"/>
      <sz val="12"/>
      <color rgb="FF2E9E62"/>
      <name val="Arial"/>
      <family val="0"/>
      <charset val="1"/>
    </font>
    <font>
      <b val="true"/>
      <sz val="11"/>
      <color rgb="FF2E9E62"/>
      <name val="Arial"/>
      <family val="0"/>
      <charset val="1"/>
    </font>
    <font>
      <b val="true"/>
      <sz val="11"/>
      <color rgb="FF14394D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A4A55"/>
      <name val="Arial"/>
      <family val="0"/>
      <charset val="1"/>
    </font>
    <font>
      <sz val="10"/>
      <name val="Arial"/>
      <family val="2"/>
    </font>
    <font>
      <b val="true"/>
      <sz val="14"/>
      <color rgb="FF14394D"/>
      <name val="Arial"/>
      <family val="0"/>
      <charset val="1"/>
    </font>
    <font>
      <b val="true"/>
      <sz val="12"/>
      <color rgb="FF14394D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4394D"/>
        <bgColor rgb="FF3A4A55"/>
      </patternFill>
    </fill>
    <fill>
      <patternFill patternType="solid">
        <fgColor rgb="FFEEF2F4"/>
        <bgColor rgb="FFE0F2E8"/>
      </patternFill>
    </fill>
    <fill>
      <patternFill patternType="solid">
        <fgColor rgb="FFD6453D"/>
        <bgColor rgb="FF993366"/>
      </patternFill>
    </fill>
    <fill>
      <patternFill patternType="solid">
        <fgColor rgb="FFFFFFFF"/>
        <bgColor rgb="FFEEF2F4"/>
      </patternFill>
    </fill>
    <fill>
      <patternFill patternType="solid">
        <fgColor rgb="FFFBE3E1"/>
        <bgColor rgb="FFFBF0D9"/>
      </patternFill>
    </fill>
    <fill>
      <patternFill patternType="solid">
        <fgColor rgb="FFD99A12"/>
        <bgColor rgb="FFFFCC00"/>
      </patternFill>
    </fill>
    <fill>
      <patternFill patternType="solid">
        <fgColor rgb="FFFBF0D9"/>
        <bgColor rgb="FFFBE3E1"/>
      </patternFill>
    </fill>
    <fill>
      <patternFill patternType="solid">
        <fgColor rgb="FF0FA3A3"/>
        <bgColor rgb="FF2E9E62"/>
      </patternFill>
    </fill>
    <fill>
      <patternFill patternType="solid">
        <fgColor rgb="FFDDF3F3"/>
        <bgColor rgb="FFE0F2E8"/>
      </patternFill>
    </fill>
    <fill>
      <patternFill patternType="solid">
        <fgColor rgb="FF2E9E62"/>
        <bgColor rgb="FF0FA3A3"/>
      </patternFill>
    </fill>
    <fill>
      <patternFill patternType="solid">
        <fgColor rgb="FFE0F2E8"/>
        <bgColor rgb="FFDDF3F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4394D"/>
      </left>
      <right style="medium">
        <color rgb="FF14394D"/>
      </right>
      <top style="medium">
        <color rgb="FF14394D"/>
      </top>
      <bottom style="medium">
        <color rgb="FF14394D"/>
      </bottom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  <border diagonalUp="false" diagonalDown="false">
      <left style="medium">
        <color rgb="FF14394D"/>
      </left>
      <right style="thin">
        <color rgb="FFC9D3DA"/>
      </right>
      <top style="thin">
        <color rgb="FFC9D3DA"/>
      </top>
      <bottom style="thin">
        <color rgb="FFC9D3DA"/>
      </bottom>
      <diagonal/>
    </border>
    <border diagonalUp="false" diagonalDown="false">
      <left style="thin">
        <color rgb="FFC9D3DA"/>
      </left>
      <right style="medium">
        <color rgb="FF14394D"/>
      </right>
      <top style="thin">
        <color rgb="FFC9D3DA"/>
      </top>
      <bottom style="thin">
        <color rgb="FFC9D3DA"/>
      </bottom>
      <diagonal/>
    </border>
    <border diagonalUp="false" diagonalDown="false">
      <left style="medium">
        <color rgb="FF14394D"/>
      </left>
      <right style="medium">
        <color rgb="FF14394D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A3A3"/>
      <rgbColor rgb="FFC0C0C0"/>
      <rgbColor rgb="FF6A7782"/>
      <rgbColor rgb="FF9999FF"/>
      <rgbColor rgb="FFD6453D"/>
      <rgbColor rgb="FFFBF0D9"/>
      <rgbColor rgb="FFDDF3F3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E8"/>
      <rgbColor rgb="FFEEF2F4"/>
      <rgbColor rgb="FFFFFF99"/>
      <rgbColor rgb="FF99CCFF"/>
      <rgbColor rgb="FFFF99CC"/>
      <rgbColor rgb="FFCC99FF"/>
      <rgbColor rgb="FFFBE3E1"/>
      <rgbColor rgb="FF3366FF"/>
      <rgbColor rgb="FF33CCCC"/>
      <rgbColor rgb="FF99CC00"/>
      <rgbColor rgb="FFFFCC00"/>
      <rgbColor rgb="FFD99A12"/>
      <rgbColor rgb="FFFF6600"/>
      <rgbColor rgb="FF666699"/>
      <rgbColor rgb="FF969696"/>
      <rgbColor rgb="FF14394D"/>
      <rgbColor rgb="FF2E9E62"/>
      <rgbColor rgb="FF003300"/>
      <rgbColor rgb="FF333300"/>
      <rgbColor rgb="FF993300"/>
      <rgbColor rgb="FF993366"/>
      <rgbColor rgb="FF333399"/>
      <rgbColor rgb="FF3A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1.5"/>
    <col collapsed="false" customWidth="true" hidden="false" outlineLevel="0" max="14" min="14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9.5" hidden="false" customHeight="true" outlineLevel="0" collapsed="false">
      <c r="B5" s="4" t="s">
        <v>3</v>
      </c>
      <c r="C5" s="4"/>
      <c r="D5" s="4"/>
      <c r="E5" s="4" t="s">
        <v>4</v>
      </c>
      <c r="F5" s="4"/>
      <c r="G5" s="4"/>
      <c r="H5" s="4" t="s">
        <v>5</v>
      </c>
      <c r="I5" s="4"/>
      <c r="J5" s="4"/>
      <c r="K5" s="4" t="s">
        <v>6</v>
      </c>
      <c r="L5" s="4"/>
      <c r="M5" s="4"/>
    </row>
    <row r="7" customFormat="false" ht="15" hidden="false" customHeight="false" outlineLevel="0" collapsed="false">
      <c r="A7" s="5" t="s">
        <v>7</v>
      </c>
    </row>
    <row r="8" customFormat="false" ht="18.75" hidden="false" customHeight="true" outlineLevel="0" collapsed="false">
      <c r="A8" s="6"/>
      <c r="B8" s="7" t="s">
        <v>8</v>
      </c>
      <c r="C8" s="8" t="s">
        <v>9</v>
      </c>
      <c r="D8" s="9" t="s">
        <v>10</v>
      </c>
      <c r="E8" s="7" t="s">
        <v>11</v>
      </c>
      <c r="F8" s="8" t="s">
        <v>12</v>
      </c>
      <c r="G8" s="9" t="s">
        <v>13</v>
      </c>
      <c r="H8" s="7" t="s">
        <v>14</v>
      </c>
      <c r="I8" s="8" t="s">
        <v>15</v>
      </c>
      <c r="J8" s="9" t="s">
        <v>16</v>
      </c>
      <c r="K8" s="7" t="s">
        <v>17</v>
      </c>
      <c r="L8" s="8" t="s">
        <v>18</v>
      </c>
      <c r="M8" s="9" t="s">
        <v>19</v>
      </c>
      <c r="N8" s="10" t="s">
        <v>20</v>
      </c>
    </row>
    <row r="9" customFormat="false" ht="18.75" hidden="false" customHeight="true" outlineLevel="0" collapsed="false">
      <c r="A9" s="11" t="s">
        <v>21</v>
      </c>
      <c r="B9" s="12" t="n">
        <v>0.85</v>
      </c>
      <c r="C9" s="13" t="n">
        <v>0.85</v>
      </c>
      <c r="D9" s="14" t="n">
        <v>0.85</v>
      </c>
      <c r="E9" s="12" t="n">
        <v>0.85</v>
      </c>
      <c r="F9" s="13" t="n">
        <v>0.85</v>
      </c>
      <c r="G9" s="14" t="n">
        <v>0.85</v>
      </c>
      <c r="H9" s="12" t="n">
        <v>0.85</v>
      </c>
      <c r="I9" s="13" t="n">
        <v>0.85</v>
      </c>
      <c r="J9" s="14" t="n">
        <v>0.85</v>
      </c>
      <c r="K9" s="12" t="n">
        <v>0.85</v>
      </c>
      <c r="L9" s="13" t="n">
        <v>0.85</v>
      </c>
      <c r="M9" s="14" t="n">
        <v>0.85</v>
      </c>
      <c r="N9" s="15" t="n">
        <v>1</v>
      </c>
    </row>
    <row r="10" customFormat="false" ht="18.75" hidden="false" customHeight="true" outlineLevel="0" collapsed="false">
      <c r="A10" s="11" t="s">
        <v>22</v>
      </c>
      <c r="B10" s="16"/>
      <c r="C10" s="17"/>
      <c r="D10" s="18"/>
      <c r="E10" s="16"/>
      <c r="F10" s="17"/>
      <c r="G10" s="18"/>
      <c r="H10" s="16" t="n">
        <v>0.88</v>
      </c>
      <c r="I10" s="17" t="n">
        <v>0.91</v>
      </c>
      <c r="J10" s="18" t="n">
        <v>0.84</v>
      </c>
      <c r="K10" s="16" t="n">
        <v>0.32</v>
      </c>
      <c r="L10" s="17"/>
      <c r="M10" s="18"/>
      <c r="N10" s="19" t="n">
        <f aca="false">IFERROR(AVERAGE(B10:M10),"")</f>
        <v>0.7375</v>
      </c>
    </row>
    <row r="11" customFormat="false" ht="18.75" hidden="false" customHeight="true" outlineLevel="0" collapsed="false">
      <c r="A11" s="11" t="s">
        <v>23</v>
      </c>
      <c r="B11" s="20" t="str">
        <f aca="false">IF(B10="","",MIN(B10/B9,1))</f>
        <v/>
      </c>
      <c r="C11" s="21" t="str">
        <f aca="false">IF(C10="","",MIN(C10/C9,1))</f>
        <v/>
      </c>
      <c r="D11" s="22" t="str">
        <f aca="false">IF(D10="","",MIN(D10/D9,1))</f>
        <v/>
      </c>
      <c r="E11" s="20" t="str">
        <f aca="false">IF(E10="","",MIN(E10/E9,1))</f>
        <v/>
      </c>
      <c r="F11" s="21" t="str">
        <f aca="false">IF(F10="","",MIN(F10/F9,1))</f>
        <v/>
      </c>
      <c r="G11" s="22" t="str">
        <f aca="false">IF(G10="","",MIN(G10/G9,1))</f>
        <v/>
      </c>
      <c r="H11" s="20" t="n">
        <f aca="false">IF(H10="","",MIN(H10/H9,1))</f>
        <v>1</v>
      </c>
      <c r="I11" s="21" t="n">
        <f aca="false">IF(I10="","",MIN(I10/I9,1))</f>
        <v>1</v>
      </c>
      <c r="J11" s="22" t="n">
        <f aca="false">IF(J10="","",MIN(J10/J9,1))</f>
        <v>0.988235294117647</v>
      </c>
      <c r="K11" s="20" t="n">
        <f aca="false">IF(K10="","",MIN(K10/K9,1))</f>
        <v>0.376470588235294</v>
      </c>
      <c r="L11" s="21" t="str">
        <f aca="false">IF(L10="","",MIN(L10/L9,1))</f>
        <v/>
      </c>
      <c r="M11" s="22" t="str">
        <f aca="false">IF(M10="","",MIN(M10/M9,1))</f>
        <v/>
      </c>
      <c r="N11" s="23" t="n">
        <f aca="false">IFERROR(AVERAGE(B11:M11),"")</f>
        <v>0.841176470588235</v>
      </c>
    </row>
    <row r="13" customFormat="false" ht="15" hidden="false" customHeight="false" outlineLevel="0" collapsed="false">
      <c r="A13" s="24" t="s">
        <v>24</v>
      </c>
    </row>
    <row r="14" customFormat="false" ht="18.75" hidden="false" customHeight="true" outlineLevel="0" collapsed="false">
      <c r="A14" s="6"/>
      <c r="B14" s="7" t="s">
        <v>8</v>
      </c>
      <c r="C14" s="8" t="s">
        <v>9</v>
      </c>
      <c r="D14" s="9" t="s">
        <v>10</v>
      </c>
      <c r="E14" s="7" t="s">
        <v>11</v>
      </c>
      <c r="F14" s="8" t="s">
        <v>12</v>
      </c>
      <c r="G14" s="9" t="s">
        <v>13</v>
      </c>
      <c r="H14" s="7" t="s">
        <v>14</v>
      </c>
      <c r="I14" s="8" t="s">
        <v>15</v>
      </c>
      <c r="J14" s="9" t="s">
        <v>16</v>
      </c>
      <c r="K14" s="7" t="s">
        <v>17</v>
      </c>
      <c r="L14" s="8" t="s">
        <v>18</v>
      </c>
      <c r="M14" s="9" t="s">
        <v>19</v>
      </c>
      <c r="N14" s="10" t="s">
        <v>20</v>
      </c>
    </row>
    <row r="15" customFormat="false" ht="18.75" hidden="false" customHeight="true" outlineLevel="0" collapsed="false">
      <c r="A15" s="11" t="s">
        <v>21</v>
      </c>
      <c r="B15" s="25" t="n">
        <v>0.8</v>
      </c>
      <c r="C15" s="26" t="n">
        <v>0.8</v>
      </c>
      <c r="D15" s="27" t="n">
        <v>0.8</v>
      </c>
      <c r="E15" s="25" t="n">
        <v>0.8</v>
      </c>
      <c r="F15" s="26" t="n">
        <v>0.8</v>
      </c>
      <c r="G15" s="27" t="n">
        <v>0.8</v>
      </c>
      <c r="H15" s="25" t="n">
        <v>0.8</v>
      </c>
      <c r="I15" s="26" t="n">
        <v>0.8</v>
      </c>
      <c r="J15" s="27" t="n">
        <v>0.8</v>
      </c>
      <c r="K15" s="25" t="n">
        <v>0.8</v>
      </c>
      <c r="L15" s="26" t="n">
        <v>0.8</v>
      </c>
      <c r="M15" s="27" t="n">
        <v>0.8</v>
      </c>
      <c r="N15" s="28" t="n">
        <v>1</v>
      </c>
    </row>
    <row r="16" customFormat="false" ht="18.75" hidden="false" customHeight="true" outlineLevel="0" collapsed="false">
      <c r="A16" s="11" t="s">
        <v>22</v>
      </c>
      <c r="B16" s="16"/>
      <c r="C16" s="17"/>
      <c r="D16" s="18"/>
      <c r="E16" s="16"/>
      <c r="F16" s="17"/>
      <c r="G16" s="18"/>
      <c r="H16" s="16" t="n">
        <v>0.86</v>
      </c>
      <c r="I16" s="17" t="n">
        <v>0.78</v>
      </c>
      <c r="J16" s="18" t="n">
        <v>0.82</v>
      </c>
      <c r="K16" s="16" t="n">
        <v>0.68</v>
      </c>
      <c r="L16" s="17"/>
      <c r="M16" s="18"/>
      <c r="N16" s="19" t="n">
        <f aca="false">IFERROR(AVERAGE(B16:M16),"")</f>
        <v>0.785</v>
      </c>
    </row>
    <row r="17" customFormat="false" ht="18.75" hidden="false" customHeight="true" outlineLevel="0" collapsed="false">
      <c r="A17" s="11" t="s">
        <v>23</v>
      </c>
      <c r="B17" s="29" t="str">
        <f aca="false">IF(B16="","",MIN(B16/B15,1))</f>
        <v/>
      </c>
      <c r="C17" s="30" t="str">
        <f aca="false">IF(C16="","",MIN(C16/C15,1))</f>
        <v/>
      </c>
      <c r="D17" s="31" t="str">
        <f aca="false">IF(D16="","",MIN(D16/D15,1))</f>
        <v/>
      </c>
      <c r="E17" s="29" t="str">
        <f aca="false">IF(E16="","",MIN(E16/E15,1))</f>
        <v/>
      </c>
      <c r="F17" s="30" t="str">
        <f aca="false">IF(F16="","",MIN(F16/F15,1))</f>
        <v/>
      </c>
      <c r="G17" s="31" t="str">
        <f aca="false">IF(G16="","",MIN(G16/G15,1))</f>
        <v/>
      </c>
      <c r="H17" s="29" t="n">
        <f aca="false">IF(H16="","",MIN(H16/H15,1))</f>
        <v>1</v>
      </c>
      <c r="I17" s="30" t="n">
        <f aca="false">IF(I16="","",MIN(I16/I15,1))</f>
        <v>0.975</v>
      </c>
      <c r="J17" s="31" t="n">
        <f aca="false">IF(J16="","",MIN(J16/J15,1))</f>
        <v>1</v>
      </c>
      <c r="K17" s="29" t="n">
        <f aca="false">IF(K16="","",MIN(K16/K15,1))</f>
        <v>0.85</v>
      </c>
      <c r="L17" s="30" t="str">
        <f aca="false">IF(L16="","",MIN(L16/L15,1))</f>
        <v/>
      </c>
      <c r="M17" s="31" t="str">
        <f aca="false">IF(M16="","",MIN(M16/M15,1))</f>
        <v/>
      </c>
      <c r="N17" s="32" t="n">
        <f aca="false">IFERROR(AVERAGE(B17:M17),"")</f>
        <v>0.95625</v>
      </c>
    </row>
    <row r="19" customFormat="false" ht="15" hidden="false" customHeight="false" outlineLevel="0" collapsed="false">
      <c r="A19" s="33" t="s">
        <v>25</v>
      </c>
    </row>
    <row r="20" customFormat="false" ht="18.75" hidden="false" customHeight="true" outlineLevel="0" collapsed="false">
      <c r="A20" s="6"/>
      <c r="B20" s="7" t="s">
        <v>8</v>
      </c>
      <c r="C20" s="8" t="s">
        <v>9</v>
      </c>
      <c r="D20" s="9" t="s">
        <v>10</v>
      </c>
      <c r="E20" s="7" t="s">
        <v>11</v>
      </c>
      <c r="F20" s="8" t="s">
        <v>12</v>
      </c>
      <c r="G20" s="9" t="s">
        <v>13</v>
      </c>
      <c r="H20" s="7" t="s">
        <v>14</v>
      </c>
      <c r="I20" s="8" t="s">
        <v>15</v>
      </c>
      <c r="J20" s="9" t="s">
        <v>16</v>
      </c>
      <c r="K20" s="7" t="s">
        <v>17</v>
      </c>
      <c r="L20" s="8" t="s">
        <v>18</v>
      </c>
      <c r="M20" s="9" t="s">
        <v>19</v>
      </c>
      <c r="N20" s="10" t="s">
        <v>20</v>
      </c>
    </row>
    <row r="21" customFormat="false" ht="18.75" hidden="false" customHeight="true" outlineLevel="0" collapsed="false">
      <c r="A21" s="11" t="s">
        <v>21</v>
      </c>
      <c r="B21" s="34" t="n">
        <v>0.8</v>
      </c>
      <c r="C21" s="35" t="n">
        <v>0.8</v>
      </c>
      <c r="D21" s="36" t="n">
        <v>0.8</v>
      </c>
      <c r="E21" s="34" t="n">
        <v>0.8</v>
      </c>
      <c r="F21" s="35" t="n">
        <v>0.8</v>
      </c>
      <c r="G21" s="36" t="n">
        <v>0.8</v>
      </c>
      <c r="H21" s="34" t="n">
        <v>0.8</v>
      </c>
      <c r="I21" s="35" t="n">
        <v>0.8</v>
      </c>
      <c r="J21" s="36" t="n">
        <v>0.8</v>
      </c>
      <c r="K21" s="34" t="n">
        <v>0.8</v>
      </c>
      <c r="L21" s="35" t="n">
        <v>0.8</v>
      </c>
      <c r="M21" s="36" t="n">
        <v>0.8</v>
      </c>
      <c r="N21" s="37" t="n">
        <v>1</v>
      </c>
    </row>
    <row r="22" customFormat="false" ht="18.75" hidden="false" customHeight="true" outlineLevel="0" collapsed="false">
      <c r="A22" s="11" t="s">
        <v>22</v>
      </c>
      <c r="B22" s="16"/>
      <c r="C22" s="17"/>
      <c r="D22" s="18"/>
      <c r="E22" s="16"/>
      <c r="F22" s="17"/>
      <c r="G22" s="18"/>
      <c r="H22" s="16" t="n">
        <v>1</v>
      </c>
      <c r="I22" s="17" t="n">
        <v>0.75</v>
      </c>
      <c r="J22" s="18" t="n">
        <v>1</v>
      </c>
      <c r="K22" s="16" t="n">
        <v>0.5</v>
      </c>
      <c r="L22" s="17"/>
      <c r="M22" s="18"/>
      <c r="N22" s="19" t="n">
        <f aca="false">IFERROR(AVERAGE(B22:M22),"")</f>
        <v>0.8125</v>
      </c>
    </row>
    <row r="23" customFormat="false" ht="18.75" hidden="false" customHeight="true" outlineLevel="0" collapsed="false">
      <c r="A23" s="11" t="s">
        <v>23</v>
      </c>
      <c r="B23" s="38" t="str">
        <f aca="false">IF(B22="","",MIN(B22/B21,1))</f>
        <v/>
      </c>
      <c r="C23" s="39" t="str">
        <f aca="false">IF(C22="","",MIN(C22/C21,1))</f>
        <v/>
      </c>
      <c r="D23" s="40" t="str">
        <f aca="false">IF(D22="","",MIN(D22/D21,1))</f>
        <v/>
      </c>
      <c r="E23" s="38" t="str">
        <f aca="false">IF(E22="","",MIN(E22/E21,1))</f>
        <v/>
      </c>
      <c r="F23" s="39" t="str">
        <f aca="false">IF(F22="","",MIN(F22/F21,1))</f>
        <v/>
      </c>
      <c r="G23" s="40" t="str">
        <f aca="false">IF(G22="","",MIN(G22/G21,1))</f>
        <v/>
      </c>
      <c r="H23" s="38" t="n">
        <f aca="false">IF(H22="","",MIN(H22/H21,1))</f>
        <v>1</v>
      </c>
      <c r="I23" s="39" t="n">
        <f aca="false">IF(I22="","",MIN(I22/I21,1))</f>
        <v>0.9375</v>
      </c>
      <c r="J23" s="40" t="n">
        <f aca="false">IF(J22="","",MIN(J22/J21,1))</f>
        <v>1</v>
      </c>
      <c r="K23" s="38" t="n">
        <f aca="false">IF(K22="","",MIN(K22/K21,1))</f>
        <v>0.625</v>
      </c>
      <c r="L23" s="39" t="str">
        <f aca="false">IF(L22="","",MIN(L22/L21,1))</f>
        <v/>
      </c>
      <c r="M23" s="40" t="str">
        <f aca="false">IF(M22="","",MIN(M22/M21,1))</f>
        <v/>
      </c>
      <c r="N23" s="41" t="n">
        <f aca="false">IFERROR(AVERAGE(B23:M23),"")</f>
        <v>0.890625</v>
      </c>
    </row>
    <row r="25" customFormat="false" ht="15" hidden="false" customHeight="false" outlineLevel="0" collapsed="false">
      <c r="A25" s="42" t="s">
        <v>26</v>
      </c>
    </row>
    <row r="26" customFormat="false" ht="18.75" hidden="false" customHeight="true" outlineLevel="0" collapsed="false">
      <c r="A26" s="6"/>
      <c r="B26" s="7" t="s">
        <v>8</v>
      </c>
      <c r="C26" s="8" t="s">
        <v>9</v>
      </c>
      <c r="D26" s="9" t="s">
        <v>10</v>
      </c>
      <c r="E26" s="7" t="s">
        <v>11</v>
      </c>
      <c r="F26" s="8" t="s">
        <v>12</v>
      </c>
      <c r="G26" s="9" t="s">
        <v>13</v>
      </c>
      <c r="H26" s="7" t="s">
        <v>14</v>
      </c>
      <c r="I26" s="8" t="s">
        <v>15</v>
      </c>
      <c r="J26" s="9" t="s">
        <v>16</v>
      </c>
      <c r="K26" s="7" t="s">
        <v>17</v>
      </c>
      <c r="L26" s="8" t="s">
        <v>18</v>
      </c>
      <c r="M26" s="9" t="s">
        <v>19</v>
      </c>
      <c r="N26" s="10" t="s">
        <v>20</v>
      </c>
    </row>
    <row r="27" customFormat="false" ht="18.75" hidden="false" customHeight="true" outlineLevel="0" collapsed="false">
      <c r="A27" s="11" t="s">
        <v>21</v>
      </c>
      <c r="B27" s="43" t="n">
        <v>0.7</v>
      </c>
      <c r="C27" s="44" t="n">
        <v>0.7</v>
      </c>
      <c r="D27" s="45" t="n">
        <v>0.7</v>
      </c>
      <c r="E27" s="43" t="n">
        <v>0.7</v>
      </c>
      <c r="F27" s="44" t="n">
        <v>0.7</v>
      </c>
      <c r="G27" s="45" t="n">
        <v>0.7</v>
      </c>
      <c r="H27" s="43" t="n">
        <v>0.7</v>
      </c>
      <c r="I27" s="44" t="n">
        <v>0.7</v>
      </c>
      <c r="J27" s="45" t="n">
        <v>0.7</v>
      </c>
      <c r="K27" s="43" t="n">
        <v>0.7</v>
      </c>
      <c r="L27" s="44" t="n">
        <v>0.7</v>
      </c>
      <c r="M27" s="45" t="n">
        <v>0.7</v>
      </c>
      <c r="N27" s="46" t="n">
        <v>1</v>
      </c>
    </row>
    <row r="28" customFormat="false" ht="18.75" hidden="false" customHeight="true" outlineLevel="0" collapsed="false">
      <c r="A28" s="11" t="s">
        <v>22</v>
      </c>
      <c r="B28" s="16"/>
      <c r="C28" s="17"/>
      <c r="D28" s="18"/>
      <c r="E28" s="16"/>
      <c r="F28" s="17"/>
      <c r="G28" s="18"/>
      <c r="H28" s="16" t="n">
        <v>0.67</v>
      </c>
      <c r="I28" s="17" t="n">
        <v>0.5</v>
      </c>
      <c r="J28" s="18" t="n">
        <v>1</v>
      </c>
      <c r="K28" s="16" t="n">
        <v>0</v>
      </c>
      <c r="L28" s="17"/>
      <c r="M28" s="18"/>
      <c r="N28" s="19" t="n">
        <f aca="false">IFERROR(AVERAGE(B28:M28),"")</f>
        <v>0.5425</v>
      </c>
    </row>
    <row r="29" customFormat="false" ht="18.75" hidden="false" customHeight="true" outlineLevel="0" collapsed="false">
      <c r="A29" s="11" t="s">
        <v>23</v>
      </c>
      <c r="B29" s="47" t="str">
        <f aca="false">IF(B28="","",MIN(B28/B27,1))</f>
        <v/>
      </c>
      <c r="C29" s="48" t="str">
        <f aca="false">IF(C28="","",MIN(C28/C27,1))</f>
        <v/>
      </c>
      <c r="D29" s="49" t="str">
        <f aca="false">IF(D28="","",MIN(D28/D27,1))</f>
        <v/>
      </c>
      <c r="E29" s="47" t="str">
        <f aca="false">IF(E28="","",MIN(E28/E27,1))</f>
        <v/>
      </c>
      <c r="F29" s="48" t="str">
        <f aca="false">IF(F28="","",MIN(F28/F27,1))</f>
        <v/>
      </c>
      <c r="G29" s="49" t="str">
        <f aca="false">IF(G28="","",MIN(G28/G27,1))</f>
        <v/>
      </c>
      <c r="H29" s="47" t="n">
        <f aca="false">IF(H28="","",MIN(H28/H27,1))</f>
        <v>0.957142857142857</v>
      </c>
      <c r="I29" s="48" t="n">
        <f aca="false">IF(I28="","",MIN(I28/I27,1))</f>
        <v>0.714285714285714</v>
      </c>
      <c r="J29" s="49" t="n">
        <f aca="false">IF(J28="","",MIN(J28/J27,1))</f>
        <v>1</v>
      </c>
      <c r="K29" s="47" t="n">
        <f aca="false">IF(K28="","",MIN(K28/K27,1))</f>
        <v>0</v>
      </c>
      <c r="L29" s="48" t="str">
        <f aca="false">IF(L28="","",MIN(L28/L27,1))</f>
        <v/>
      </c>
      <c r="M29" s="49" t="str">
        <f aca="false">IF(M28="","",MIN(M28/M27,1))</f>
        <v/>
      </c>
      <c r="N29" s="50" t="n">
        <f aca="false">IFERROR(AVERAGE(B29:M29),"")</f>
        <v>0.667857142857143</v>
      </c>
    </row>
    <row r="31" customFormat="false" ht="15" hidden="false" customHeight="false" outlineLevel="0" collapsed="false">
      <c r="A31" s="51" t="s">
        <v>27</v>
      </c>
    </row>
    <row r="32" customFormat="false" ht="15" hidden="false" customHeight="true" outlineLevel="0" collapsed="false">
      <c r="A32" s="52" t="s">
        <v>21</v>
      </c>
      <c r="B32" s="53" t="s">
        <v>28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customFormat="false" ht="15" hidden="false" customHeight="true" outlineLevel="0" collapsed="false">
      <c r="A33" s="52" t="s">
        <v>22</v>
      </c>
      <c r="B33" s="53" t="s">
        <v>29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</row>
    <row r="34" customFormat="false" ht="15" hidden="false" customHeight="true" outlineLevel="0" collapsed="false">
      <c r="A34" s="52" t="s">
        <v>23</v>
      </c>
      <c r="B34" s="53" t="s">
        <v>30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customFormat="false" ht="15" hidden="false" customHeight="true" outlineLevel="0" collapsed="false">
      <c r="A35" s="52" t="s">
        <v>31</v>
      </c>
      <c r="B35" s="53" t="s">
        <v>32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</row>
  </sheetData>
  <mergeCells count="8">
    <mergeCell ref="B5:D5"/>
    <mergeCell ref="E5:G5"/>
    <mergeCell ref="H5:J5"/>
    <mergeCell ref="K5:M5"/>
    <mergeCell ref="B32:N32"/>
    <mergeCell ref="B33:N33"/>
    <mergeCell ref="B34:N34"/>
    <mergeCell ref="B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5" min="3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54" t="s">
        <v>33</v>
      </c>
    </row>
    <row r="2" customFormat="false" ht="15" hidden="false" customHeight="false" outlineLevel="0" collapsed="false">
      <c r="A2" s="3" t="s">
        <v>34</v>
      </c>
    </row>
    <row r="4" customFormat="false" ht="15" hidden="false" customHeight="false" outlineLevel="0" collapsed="false">
      <c r="A4" s="55" t="s">
        <v>35</v>
      </c>
    </row>
    <row r="5" customFormat="false" ht="15" hidden="false" customHeight="false" outlineLevel="0" collapsed="false">
      <c r="A5" s="56" t="s">
        <v>36</v>
      </c>
      <c r="B5" s="56" t="s">
        <v>37</v>
      </c>
      <c r="C5" s="56" t="s">
        <v>38</v>
      </c>
      <c r="D5" s="56" t="s">
        <v>20</v>
      </c>
      <c r="E5" s="56" t="s">
        <v>22</v>
      </c>
      <c r="F5" s="56" t="s">
        <v>21</v>
      </c>
    </row>
    <row r="6" customFormat="false" ht="15" hidden="false" customHeight="false" outlineLevel="0" collapsed="false">
      <c r="A6" s="57" t="n">
        <v>1</v>
      </c>
      <c r="B6" s="58" t="s">
        <v>7</v>
      </c>
      <c r="C6" s="59" t="n">
        <v>8</v>
      </c>
      <c r="D6" s="59" t="n">
        <v>25</v>
      </c>
      <c r="E6" s="60" t="n">
        <f aca="false">IFERROR(C6/D6,0)</f>
        <v>0.32</v>
      </c>
      <c r="F6" s="60" t="n">
        <v>0.85</v>
      </c>
    </row>
    <row r="7" customFormat="false" ht="15" hidden="false" customHeight="false" outlineLevel="0" collapsed="false">
      <c r="A7" s="57" t="n">
        <v>2</v>
      </c>
      <c r="B7" s="58" t="s">
        <v>24</v>
      </c>
      <c r="C7" s="59" t="n">
        <v>19</v>
      </c>
      <c r="D7" s="59" t="n">
        <v>28</v>
      </c>
      <c r="E7" s="60" t="n">
        <f aca="false">IFERROR(C7/D7,0)</f>
        <v>0.678571428571429</v>
      </c>
      <c r="F7" s="60" t="n">
        <v>0.8</v>
      </c>
    </row>
    <row r="8" customFormat="false" ht="15" hidden="false" customHeight="false" outlineLevel="0" collapsed="false">
      <c r="A8" s="57" t="n">
        <v>3</v>
      </c>
      <c r="B8" s="58" t="s">
        <v>25</v>
      </c>
      <c r="C8" s="59" t="n">
        <v>1</v>
      </c>
      <c r="D8" s="59" t="n">
        <v>2</v>
      </c>
      <c r="E8" s="60" t="n">
        <f aca="false">IFERROR(C8/D8,0)</f>
        <v>0.5</v>
      </c>
      <c r="F8" s="60" t="n">
        <v>0.8</v>
      </c>
    </row>
    <row r="9" customFormat="false" ht="15" hidden="false" customHeight="false" outlineLevel="0" collapsed="false">
      <c r="A9" s="57" t="n">
        <v>4</v>
      </c>
      <c r="B9" s="58" t="s">
        <v>26</v>
      </c>
      <c r="C9" s="59" t="n">
        <v>0</v>
      </c>
      <c r="D9" s="59" t="n">
        <v>2</v>
      </c>
      <c r="E9" s="60" t="n">
        <f aca="false">IFERROR(C9/D9,0)</f>
        <v>0</v>
      </c>
      <c r="F9" s="60" t="n">
        <v>0.7</v>
      </c>
    </row>
    <row r="11" customFormat="false" ht="15" hidden="false" customHeight="false" outlineLevel="0" collapsed="false">
      <c r="A11" s="55" t="s">
        <v>39</v>
      </c>
    </row>
    <row r="12" customFormat="false" ht="15" hidden="false" customHeight="false" outlineLevel="0" collapsed="false">
      <c r="A12" s="56"/>
      <c r="B12" s="56" t="s">
        <v>40</v>
      </c>
      <c r="C12" s="56" t="s">
        <v>41</v>
      </c>
      <c r="D12" s="56" t="s">
        <v>42</v>
      </c>
      <c r="E12" s="61"/>
      <c r="F12" s="61"/>
    </row>
    <row r="13" customFormat="false" ht="15" hidden="false" customHeight="false" outlineLevel="0" collapsed="false">
      <c r="A13" s="57" t="n">
        <v>1</v>
      </c>
      <c r="B13" s="62" t="s">
        <v>43</v>
      </c>
      <c r="C13" s="59" t="n">
        <v>5</v>
      </c>
      <c r="D13" s="59" t="n">
        <v>14</v>
      </c>
    </row>
    <row r="14" customFormat="false" ht="15" hidden="false" customHeight="false" outlineLevel="0" collapsed="false">
      <c r="A14" s="57" t="n">
        <v>2</v>
      </c>
      <c r="B14" s="62" t="s">
        <v>44</v>
      </c>
      <c r="C14" s="59" t="n">
        <v>0</v>
      </c>
      <c r="D14" s="59" t="n">
        <v>8</v>
      </c>
    </row>
    <row r="15" customFormat="false" ht="15" hidden="false" customHeight="false" outlineLevel="0" collapsed="false">
      <c r="A15" s="57" t="n">
        <v>3</v>
      </c>
      <c r="B15" s="62" t="s">
        <v>45</v>
      </c>
      <c r="C15" s="59" t="n">
        <v>3</v>
      </c>
      <c r="D15" s="59" t="n">
        <v>12</v>
      </c>
    </row>
    <row r="16" customFormat="false" ht="15" hidden="false" customHeight="false" outlineLevel="0" collapsed="false">
      <c r="A16" s="57" t="n">
        <v>4</v>
      </c>
      <c r="B16" s="62" t="s">
        <v>46</v>
      </c>
      <c r="C16" s="59" t="n">
        <v>2</v>
      </c>
      <c r="D16" s="59" t="n">
        <v>7</v>
      </c>
    </row>
    <row r="17" customFormat="false" ht="15" hidden="false" customHeight="false" outlineLevel="0" collapsed="false">
      <c r="A17" s="57" t="n">
        <v>5</v>
      </c>
      <c r="B17" s="62" t="s">
        <v>26</v>
      </c>
      <c r="C17" s="59" t="n">
        <v>0</v>
      </c>
      <c r="D17" s="59" t="n">
        <v>2</v>
      </c>
    </row>
    <row r="19" customFormat="false" ht="15" hidden="false" customHeight="false" outlineLevel="0" collapsed="false">
      <c r="A19" s="55" t="s">
        <v>47</v>
      </c>
    </row>
    <row r="20" customFormat="false" ht="15" hidden="false" customHeight="false" outlineLevel="0" collapsed="false">
      <c r="A20" s="56"/>
      <c r="B20" s="56" t="s">
        <v>48</v>
      </c>
      <c r="C20" s="56" t="s">
        <v>49</v>
      </c>
      <c r="D20" s="56" t="s">
        <v>50</v>
      </c>
      <c r="E20" s="61"/>
      <c r="F20" s="61"/>
    </row>
    <row r="21" customFormat="false" ht="15" hidden="false" customHeight="false" outlineLevel="0" collapsed="false">
      <c r="A21" s="6"/>
      <c r="B21" s="62" t="s">
        <v>51</v>
      </c>
      <c r="C21" s="59" t="n">
        <v>32</v>
      </c>
      <c r="D21" s="60" t="n">
        <f aca="false">IFERROR(C21/$C$21,0)</f>
        <v>1</v>
      </c>
    </row>
    <row r="22" customFormat="false" ht="15" hidden="false" customHeight="false" outlineLevel="0" collapsed="false">
      <c r="A22" s="6"/>
      <c r="B22" s="62" t="s">
        <v>52</v>
      </c>
      <c r="C22" s="59" t="n">
        <v>23</v>
      </c>
      <c r="D22" s="60" t="n">
        <f aca="false">IFERROR(C22/$C$21,0)</f>
        <v>0.71875</v>
      </c>
    </row>
    <row r="23" customFormat="false" ht="15" hidden="false" customHeight="false" outlineLevel="0" collapsed="false">
      <c r="A23" s="6"/>
      <c r="B23" s="62" t="s">
        <v>53</v>
      </c>
      <c r="C23" s="59" t="n">
        <v>9</v>
      </c>
      <c r="D23" s="60" t="n">
        <f aca="false">IFERROR(C23/$C$21,0)</f>
        <v>0.28125</v>
      </c>
    </row>
    <row r="25" customFormat="false" ht="15" hidden="false" customHeight="false" outlineLevel="0" collapsed="false">
      <c r="A25" s="55" t="s">
        <v>54</v>
      </c>
    </row>
    <row r="26" customFormat="false" ht="15" hidden="false" customHeight="false" outlineLevel="0" collapsed="false">
      <c r="A26" s="56"/>
      <c r="B26" s="56" t="s">
        <v>55</v>
      </c>
      <c r="C26" s="56" t="s">
        <v>51</v>
      </c>
      <c r="D26" s="56" t="s">
        <v>56</v>
      </c>
      <c r="E26" s="61"/>
      <c r="F26" s="61"/>
    </row>
    <row r="27" customFormat="false" ht="15" hidden="false" customHeight="false" outlineLevel="0" collapsed="false">
      <c r="A27" s="6"/>
      <c r="B27" s="62" t="s">
        <v>57</v>
      </c>
      <c r="C27" s="59" t="n">
        <v>1</v>
      </c>
      <c r="D27" s="60" t="n">
        <f aca="false">IFERROR(C27/SUM($C$27:$C$31),0)</f>
        <v>0.142857142857143</v>
      </c>
    </row>
    <row r="28" customFormat="false" ht="15" hidden="false" customHeight="false" outlineLevel="0" collapsed="false">
      <c r="A28" s="6"/>
      <c r="B28" s="62" t="s">
        <v>58</v>
      </c>
      <c r="C28" s="59" t="n">
        <v>2</v>
      </c>
      <c r="D28" s="60" t="n">
        <f aca="false">IFERROR(C28/SUM($C$27:$C$31),0)</f>
        <v>0.285714285714286</v>
      </c>
    </row>
    <row r="29" customFormat="false" ht="15" hidden="false" customHeight="false" outlineLevel="0" collapsed="false">
      <c r="A29" s="6"/>
      <c r="B29" s="62" t="s">
        <v>59</v>
      </c>
      <c r="C29" s="59" t="n">
        <v>0</v>
      </c>
      <c r="D29" s="60" t="n">
        <f aca="false">IFERROR(C29/SUM($C$27:$C$31),0)</f>
        <v>0</v>
      </c>
    </row>
    <row r="30" customFormat="false" ht="15" hidden="false" customHeight="false" outlineLevel="0" collapsed="false">
      <c r="A30" s="6"/>
      <c r="B30" s="62" t="s">
        <v>60</v>
      </c>
      <c r="C30" s="59" t="n">
        <v>1</v>
      </c>
      <c r="D30" s="60" t="n">
        <f aca="false">IFERROR(C30/SUM($C$27:$C$31),0)</f>
        <v>0.142857142857143</v>
      </c>
    </row>
    <row r="31" customFormat="false" ht="15" hidden="false" customHeight="false" outlineLevel="0" collapsed="false">
      <c r="A31" s="6"/>
      <c r="B31" s="62" t="s">
        <v>61</v>
      </c>
      <c r="C31" s="59" t="n">
        <v>3</v>
      </c>
      <c r="D31" s="60" t="n">
        <f aca="false">IFERROR(C31/SUM($C$27:$C$31),0)</f>
        <v>0.428571428571429</v>
      </c>
    </row>
    <row r="32" customFormat="false" ht="15" hidden="false" customHeight="false" outlineLevel="0" collapsed="false">
      <c r="A32" s="6"/>
      <c r="B32" s="63" t="s">
        <v>20</v>
      </c>
      <c r="C32" s="64" t="n">
        <f aca="false">SUM(C27:C31)</f>
        <v>7</v>
      </c>
      <c r="D32" s="6"/>
    </row>
    <row r="34" customFormat="false" ht="15" hidden="false" customHeight="false" outlineLevel="0" collapsed="false">
      <c r="A34" s="55" t="s">
        <v>62</v>
      </c>
    </row>
    <row r="35" customFormat="false" ht="15" hidden="false" customHeight="false" outlineLevel="0" collapsed="false">
      <c r="A35" s="56" t="s">
        <v>63</v>
      </c>
      <c r="B35" s="56" t="s">
        <v>64</v>
      </c>
      <c r="C35" s="56" t="s">
        <v>65</v>
      </c>
      <c r="D35" s="56" t="s">
        <v>66</v>
      </c>
      <c r="E35" s="56" t="s">
        <v>67</v>
      </c>
      <c r="F35" s="61"/>
    </row>
    <row r="36" customFormat="false" ht="15" hidden="false" customHeight="false" outlineLevel="0" collapsed="false">
      <c r="A36" s="57" t="n">
        <v>1</v>
      </c>
      <c r="B36" s="62" t="s">
        <v>68</v>
      </c>
      <c r="C36" s="59" t="n">
        <v>4</v>
      </c>
      <c r="D36" s="59" t="n">
        <v>1</v>
      </c>
      <c r="E36" s="60" t="n">
        <f aca="false">IFERROR(D36/C36,0)</f>
        <v>0.25</v>
      </c>
    </row>
    <row r="37" customFormat="false" ht="15" hidden="false" customHeight="false" outlineLevel="0" collapsed="false">
      <c r="A37" s="57" t="n">
        <v>2</v>
      </c>
      <c r="B37" s="62" t="s">
        <v>69</v>
      </c>
      <c r="C37" s="59" t="n">
        <v>8</v>
      </c>
      <c r="D37" s="59" t="n">
        <v>3</v>
      </c>
      <c r="E37" s="60" t="n">
        <f aca="false">IFERROR(D37/C37,0)</f>
        <v>0.375</v>
      </c>
    </row>
    <row r="38" customFormat="false" ht="15" hidden="false" customHeight="false" outlineLevel="0" collapsed="false">
      <c r="A38" s="57" t="n">
        <v>3</v>
      </c>
      <c r="B38" s="62" t="s">
        <v>70</v>
      </c>
      <c r="C38" s="59" t="n">
        <v>10</v>
      </c>
      <c r="D38" s="59" t="n">
        <v>3</v>
      </c>
      <c r="E38" s="60" t="n">
        <f aca="false">IFERROR(D38/C38,0)</f>
        <v>0.3</v>
      </c>
    </row>
    <row r="39" customFormat="false" ht="15" hidden="false" customHeight="false" outlineLevel="0" collapsed="false">
      <c r="A39" s="57" t="n">
        <v>4</v>
      </c>
      <c r="B39" s="62" t="s">
        <v>71</v>
      </c>
      <c r="C39" s="59" t="n">
        <v>8</v>
      </c>
      <c r="D39" s="59" t="n">
        <v>2</v>
      </c>
      <c r="E39" s="60" t="n">
        <f aca="false">IFERROR(D39/C39,0)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2026-10-23T04:18:27Z</dcterms:created>
  <dc:creator>openpyxl</dc:creator>
  <dc:description/>
  <dc:language>en-US</dc:language>
  <cp:lastModifiedBy/>
  <dcterms:modified xsi:type="dcterms:W3CDTF">2026-10-23T04:18:27Z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